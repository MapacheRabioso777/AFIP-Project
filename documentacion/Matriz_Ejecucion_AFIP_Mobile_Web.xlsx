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Matriz de Ejecución" sheetId="2" r:id="rId5"/>
    <sheet state="visible" name="Resumen de Ejecución" sheetId="3" r:id="rId6"/>
  </sheets>
  <definedNames/>
  <calcPr/>
  <extLst>
    <ext uri="GoogleSheetsCustomDataVersion2">
      <go:sheetsCustomData xmlns:go="http://customooxmlschemas.google.com/" r:id="rId7" roundtripDataChecksum="8cDOcKKQr0KRGeuqqzhDaZB9rRz61CjZE+jjEgcHFLU="/>
    </ext>
  </extLst>
</workbook>
</file>

<file path=xl/sharedStrings.xml><?xml version="1.0" encoding="utf-8"?>
<sst xmlns="http://schemas.openxmlformats.org/spreadsheetml/2006/main" count="350" uniqueCount="144">
  <si>
    <t>MATRIZ DE EJECUCIÓN DE CASOS DE PRUEBA</t>
  </si>
  <si>
    <t>Sistema AFIP Mobile – Gestión Financiera Personal (Web)</t>
  </si>
  <si>
    <t>Proyecto</t>
  </si>
  <si>
    <t>AFIP Mobile – Gestión Financiera Personal</t>
  </si>
  <si>
    <t>Plataforma</t>
  </si>
  <si>
    <t>Web</t>
  </si>
  <si>
    <t>Versión del Sistema</t>
  </si>
  <si>
    <t>1.0.0</t>
  </si>
  <si>
    <t>Sprint / Ciclo</t>
  </si>
  <si>
    <t>Ciclo 1 – Junio 2026</t>
  </si>
  <si>
    <t>Fecha de Inicio</t>
  </si>
  <si>
    <t>08/06/2026</t>
  </si>
  <si>
    <t>Fecha de Fin</t>
  </si>
  <si>
    <t>23/06/2026</t>
  </si>
  <si>
    <t>Elaborado por</t>
  </si>
  <si>
    <t>Equipo de QA – AFIP Mobile</t>
  </si>
  <si>
    <t>Revisado por</t>
  </si>
  <si>
    <t>Líder de Proyecto</t>
  </si>
  <si>
    <t>LEYENDA DE ESTADOS</t>
  </si>
  <si>
    <t>Estado</t>
  </si>
  <si>
    <t>Significado / Acción</t>
  </si>
  <si>
    <t>✅ APROBADO</t>
  </si>
  <si>
    <t>El caso de prueba pasó correctamente</t>
  </si>
  <si>
    <t>❌ FALLIDO</t>
  </si>
  <si>
    <t>No cumplió el resultado esperado → Registrar defecto y retestar</t>
  </si>
  <si>
    <t>⏩ BLOQUEADO</t>
  </si>
  <si>
    <t>No se pudo ejecutar por impedimento externo → Resolver y re-ejecutar</t>
  </si>
  <si>
    <t>🔄 EN PROGRESO</t>
  </si>
  <si>
    <t>El caso está siendo ejecutado actualmente → Esperar finalización</t>
  </si>
  <si>
    <t>⬜ PENDIENTE</t>
  </si>
  <si>
    <t>El caso aún no ha sido ejecutado → Ejecutar según cronograma</t>
  </si>
  <si>
    <t>N/A</t>
  </si>
  <si>
    <t>No aplica para esta plataforma o ciclo</t>
  </si>
  <si>
    <t>Plataforma: Web | Ciclo 1 | Junio 2026</t>
  </si>
  <si>
    <t>ID CP</t>
  </si>
  <si>
    <t>Módulo</t>
  </si>
  <si>
    <t>Descripción del Caso</t>
  </si>
  <si>
    <t>Prioridad</t>
  </si>
  <si>
    <t>Tipo</t>
  </si>
  <si>
    <t>Tester</t>
  </si>
  <si>
    <t>Fecha Ejecución</t>
  </si>
  <si>
    <t>Resultado Obtenido</t>
  </si>
  <si>
    <t>ID Defecto</t>
  </si>
  <si>
    <t>Severidad Defecto</t>
  </si>
  <si>
    <t>Ciclo</t>
  </si>
  <si>
    <t>Retesting</t>
  </si>
  <si>
    <t>Estado Final</t>
  </si>
  <si>
    <t>Evidencia</t>
  </si>
  <si>
    <t>Observaciones</t>
  </si>
  <si>
    <t>CP-001</t>
  </si>
  <si>
    <t>Autenticación</t>
  </si>
  <si>
    <t>Registro de usuario exitoso</t>
  </si>
  <si>
    <t>Alta</t>
  </si>
  <si>
    <t>Funcional</t>
  </si>
  <si>
    <t>Ciclo 1</t>
  </si>
  <si>
    <t>Pendiente</t>
  </si>
  <si>
    <t>CP-002</t>
  </si>
  <si>
    <t>Registro con email duplicado</t>
  </si>
  <si>
    <t>CP-003</t>
  </si>
  <si>
    <t>Login exitoso</t>
  </si>
  <si>
    <t>CP-004</t>
  </si>
  <si>
    <t>Login con credenciales incorrectas</t>
  </si>
  <si>
    <t>Seguridad</t>
  </si>
  <si>
    <t>CP-005</t>
  </si>
  <si>
    <t>Acceso sin token rechazado</t>
  </si>
  <si>
    <t>CP-006</t>
  </si>
  <si>
    <t>Token expirado rechazado</t>
  </si>
  <si>
    <t>CP-007</t>
  </si>
  <si>
    <t>Cuentas</t>
  </si>
  <si>
    <t>Crear cuenta exitosamente</t>
  </si>
  <si>
    <t>CP-008</t>
  </si>
  <si>
    <t>Listar cuentas del usuario</t>
  </si>
  <si>
    <t>CP-009</t>
  </si>
  <si>
    <t>Actualizar cuenta</t>
  </si>
  <si>
    <t>Media</t>
  </si>
  <si>
    <t>CP-010</t>
  </si>
  <si>
    <t>Eliminar cuenta</t>
  </si>
  <si>
    <t>CP-011</t>
  </si>
  <si>
    <t>Categorías</t>
  </si>
  <si>
    <t>Crear categoría personalizada</t>
  </si>
  <si>
    <t>CP-012</t>
  </si>
  <si>
    <t>Listar categorías</t>
  </si>
  <si>
    <t>CP-013</t>
  </si>
  <si>
    <t>No editar categoría predefinida</t>
  </si>
  <si>
    <t>CP-014</t>
  </si>
  <si>
    <t>Presupuestos</t>
  </si>
  <si>
    <t>Crear presupuesto</t>
  </si>
  <si>
    <t>CP-015</t>
  </si>
  <si>
    <t>Listar presupuestos</t>
  </si>
  <si>
    <t>CP-016</t>
  </si>
  <si>
    <t>Gastos</t>
  </si>
  <si>
    <t>Registrar gasto y descontar de cuenta</t>
  </si>
  <si>
    <t>CP-017</t>
  </si>
  <si>
    <t>Gasto sin campos requeridos</t>
  </si>
  <si>
    <t>Validación</t>
  </si>
  <si>
    <t>CP-018</t>
  </si>
  <si>
    <t>Listar gastos</t>
  </si>
  <si>
    <t>CP-019</t>
  </si>
  <si>
    <t>Eliminar gasto</t>
  </si>
  <si>
    <t>CP-020</t>
  </si>
  <si>
    <t>Ingresos</t>
  </si>
  <si>
    <t>Registrar ingreso y sumar a cuenta</t>
  </si>
  <si>
    <t>CP-021</t>
  </si>
  <si>
    <t>Listar ingresos</t>
  </si>
  <si>
    <t>CP-022</t>
  </si>
  <si>
    <t>Metas</t>
  </si>
  <si>
    <t>Crear meta financiera</t>
  </si>
  <si>
    <t>CP-023</t>
  </si>
  <si>
    <t>Listar metas</t>
  </si>
  <si>
    <t>CP-024</t>
  </si>
  <si>
    <t>Deudas</t>
  </si>
  <si>
    <t>Registrar deuda</t>
  </si>
  <si>
    <t>CP-025</t>
  </si>
  <si>
    <t>Listar deudas</t>
  </si>
  <si>
    <t>CP-026</t>
  </si>
  <si>
    <t>Pagos de Deuda</t>
  </si>
  <si>
    <t>Registrar pago de deuda</t>
  </si>
  <si>
    <t>CP-027</t>
  </si>
  <si>
    <t>Acceso a recursos de otro usuario</t>
  </si>
  <si>
    <t>CP-028</t>
  </si>
  <si>
    <t>Rendimiento</t>
  </si>
  <si>
    <t>Tiempo de respuesta API &lt; 500ms</t>
  </si>
  <si>
    <t>CP-029</t>
  </si>
  <si>
    <t>Compatibilidad</t>
  </si>
  <si>
    <t>Visualización en Chrome/Firefox/Edge</t>
  </si>
  <si>
    <t>RESUMEN DE EJECUCIÓN</t>
  </si>
  <si>
    <t>Total CP</t>
  </si>
  <si>
    <t>Aprobados</t>
  </si>
  <si>
    <t>Fallidos</t>
  </si>
  <si>
    <t>Bloqueados / Pendientes</t>
  </si>
  <si>
    <t>TOTAL GENERAL</t>
  </si>
  <si>
    <t>INDICADORES DE AVANCE</t>
  </si>
  <si>
    <t>Indicador</t>
  </si>
  <si>
    <t>Fórmula</t>
  </si>
  <si>
    <t>Valor Actual</t>
  </si>
  <si>
    <t>Meta</t>
  </si>
  <si>
    <t>% Ejecución</t>
  </si>
  <si>
    <t>0%</t>
  </si>
  <si>
    <t>100%</t>
  </si>
  <si>
    <t>⬜ Pendiente</t>
  </si>
  <si>
    <t>% Aprobados</t>
  </si>
  <si>
    <t>≥ 90%</t>
  </si>
  <si>
    <t>% Fallidos</t>
  </si>
  <si>
    <t>&lt; 10%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</si>
</sst>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rgb="FFFFFFFF"/>
      <name val="Calibri"/>
    </font>
    <font>
      <b/>
      <sz val="10.0"/>
      <color rgb="FF1B3A6B"/>
      <name val="Calibri"/>
    </font>
    <font>
      <sz val="10.0"/>
      <color rgb="FF1E293B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0.0"/>
      <color rgb="FF2563EB"/>
      <name val="Calibri"/>
    </font>
    <font>
      <b/>
      <sz val="10.0"/>
      <color rgb="FF1E293B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CE7F3"/>
        <bgColor rgb="FFFCE7F3"/>
      </patternFill>
    </fill>
    <fill>
      <patternFill patternType="solid">
        <fgColor rgb="FFFEF9C3"/>
        <bgColor rgb="FFFEF9C3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D1FAE5"/>
        <bgColor rgb="FFD1FAE5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2563EB"/>
      </bottom>
    </border>
    <border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4" fillId="3" fontId="7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3" fillId="4" fontId="8" numFmtId="0" xfId="0" applyAlignment="1" applyBorder="1" applyFont="1">
      <alignment horizontal="center" vertical="center"/>
    </xf>
    <xf borderId="3" fillId="6" fontId="9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7" fontId="5" numFmtId="0" xfId="0" applyAlignment="1" applyBorder="1" applyFill="1" applyFont="1">
      <alignment horizontal="center" vertical="center"/>
    </xf>
    <xf borderId="3" fillId="8" fontId="5" numFmtId="0" xfId="0" applyAlignment="1" applyBorder="1" applyFill="1" applyFont="1">
      <alignment horizontal="center" vertical="center"/>
    </xf>
    <xf borderId="3" fillId="9" fontId="9" numFmtId="0" xfId="0" applyAlignment="1" applyBorder="1" applyFill="1" applyFont="1">
      <alignment horizontal="center" vertical="center"/>
    </xf>
    <xf borderId="3" fillId="10" fontId="5" numFmtId="0" xfId="0" applyAlignment="1" applyBorder="1" applyFill="1" applyFont="1">
      <alignment horizontal="center" vertical="center"/>
    </xf>
    <xf borderId="3" fillId="11" fontId="5" numFmtId="0" xfId="0" applyAlignment="1" applyBorder="1" applyFill="1" applyFont="1">
      <alignment horizontal="center" vertical="center"/>
    </xf>
    <xf borderId="3" fillId="12" fontId="5" numFmtId="0" xfId="0" applyAlignment="1" applyBorder="1" applyFill="1" applyFont="1">
      <alignment horizontal="center" vertical="center"/>
    </xf>
    <xf borderId="3" fillId="4" fontId="4" numFmtId="0" xfId="0" applyAlignment="1" applyBorder="1" applyFont="1">
      <alignment horizontal="left" shrinkToFit="0" vertical="center" wrapText="1"/>
    </xf>
    <xf borderId="3" fillId="5" fontId="4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0.0"/>
    <col customWidth="1" min="3" max="26" width="8.71"/>
  </cols>
  <sheetData>
    <row r="1" ht="36.0" customHeight="1">
      <c r="A1" s="1" t="s">
        <v>0</v>
      </c>
      <c r="B1" s="2"/>
    </row>
    <row r="2" ht="21.75" customHeight="1">
      <c r="A2" s="3" t="s">
        <v>1</v>
      </c>
      <c r="B2" s="2"/>
    </row>
    <row r="3" ht="9.75" customHeight="1"/>
    <row r="4" ht="18.0" customHeight="1">
      <c r="A4" s="4" t="s">
        <v>2</v>
      </c>
      <c r="B4" s="5" t="s">
        <v>3</v>
      </c>
    </row>
    <row r="5" ht="18.0" customHeight="1">
      <c r="A5" s="4" t="s">
        <v>4</v>
      </c>
      <c r="B5" s="5" t="s">
        <v>5</v>
      </c>
    </row>
    <row r="6" ht="18.0" customHeight="1">
      <c r="A6" s="4" t="s">
        <v>6</v>
      </c>
      <c r="B6" s="5" t="s">
        <v>7</v>
      </c>
    </row>
    <row r="7" ht="18.0" customHeight="1">
      <c r="A7" s="4" t="s">
        <v>8</v>
      </c>
      <c r="B7" s="5" t="s">
        <v>9</v>
      </c>
    </row>
    <row r="8" ht="18.0" customHeight="1">
      <c r="A8" s="4" t="s">
        <v>10</v>
      </c>
      <c r="B8" s="5" t="s">
        <v>11</v>
      </c>
    </row>
    <row r="9" ht="18.0" customHeight="1">
      <c r="A9" s="4" t="s">
        <v>12</v>
      </c>
      <c r="B9" s="5" t="s">
        <v>13</v>
      </c>
    </row>
    <row r="10" ht="18.0" customHeight="1">
      <c r="A10" s="4" t="s">
        <v>14</v>
      </c>
      <c r="B10" s="5" t="s">
        <v>15</v>
      </c>
    </row>
    <row r="11" ht="18.0" customHeight="1">
      <c r="A11" s="4" t="s">
        <v>16</v>
      </c>
      <c r="B11" s="5" t="s">
        <v>17</v>
      </c>
    </row>
    <row r="13" ht="19.5" customHeight="1">
      <c r="A13" s="6" t="s">
        <v>18</v>
      </c>
      <c r="B13" s="2"/>
    </row>
    <row r="14">
      <c r="A14" s="7" t="s">
        <v>19</v>
      </c>
      <c r="B14" s="7" t="s">
        <v>20</v>
      </c>
    </row>
    <row r="15">
      <c r="A15" s="8" t="s">
        <v>21</v>
      </c>
      <c r="B15" s="8" t="s">
        <v>22</v>
      </c>
    </row>
    <row r="16">
      <c r="A16" s="9" t="s">
        <v>23</v>
      </c>
      <c r="B16" s="9" t="s">
        <v>24</v>
      </c>
    </row>
    <row r="17">
      <c r="A17" s="8" t="s">
        <v>25</v>
      </c>
      <c r="B17" s="8" t="s">
        <v>26</v>
      </c>
    </row>
    <row r="18">
      <c r="A18" s="9" t="s">
        <v>27</v>
      </c>
      <c r="B18" s="9" t="s">
        <v>28</v>
      </c>
    </row>
    <row r="19">
      <c r="A19" s="8" t="s">
        <v>29</v>
      </c>
      <c r="B19" s="8" t="s">
        <v>30</v>
      </c>
    </row>
    <row r="20" ht="18.0" customHeight="1">
      <c r="A20" s="9" t="s">
        <v>31</v>
      </c>
      <c r="B20" s="9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13:B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32.0"/>
    <col customWidth="1" min="4" max="4" width="10.0"/>
    <col customWidth="1" min="5" max="8" width="14.0"/>
    <col customWidth="1" min="9" max="9" width="22.0"/>
    <col customWidth="1" min="10" max="10" width="12.0"/>
    <col customWidth="1" min="11" max="11" width="16.0"/>
    <col customWidth="1" min="12" max="12" width="10.0"/>
    <col customWidth="1" min="13" max="13" width="12.0"/>
    <col customWidth="1" min="14" max="14" width="14.0"/>
    <col customWidth="1" min="15" max="16" width="22.0"/>
    <col customWidth="1" min="17" max="26" width="8.71"/>
  </cols>
  <sheetData>
    <row r="1" ht="36.0" customHeight="1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</row>
    <row r="2" ht="21.75" customHeight="1">
      <c r="A2" s="3" t="s">
        <v>33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2"/>
    </row>
    <row r="3" ht="7.5" customHeight="1"/>
    <row r="4" ht="31.5" customHeight="1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19</v>
      </c>
      <c r="I4" s="7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  <c r="O4" s="7" t="s">
        <v>47</v>
      </c>
      <c r="P4" s="7" t="s">
        <v>48</v>
      </c>
    </row>
    <row r="5" ht="19.5" customHeight="1">
      <c r="A5" s="11" t="s">
        <v>49</v>
      </c>
      <c r="B5" s="8" t="s">
        <v>50</v>
      </c>
      <c r="C5" s="8" t="s">
        <v>51</v>
      </c>
      <c r="D5" s="12" t="s">
        <v>52</v>
      </c>
      <c r="E5" s="13" t="s">
        <v>53</v>
      </c>
      <c r="F5" s="8"/>
      <c r="G5" s="8"/>
      <c r="H5" s="14" t="s">
        <v>29</v>
      </c>
      <c r="I5" s="8"/>
      <c r="J5" s="8"/>
      <c r="K5" s="8"/>
      <c r="L5" s="8" t="s">
        <v>54</v>
      </c>
      <c r="M5" s="8" t="s">
        <v>55</v>
      </c>
      <c r="N5" s="14" t="s">
        <v>29</v>
      </c>
      <c r="O5" s="8"/>
      <c r="P5" s="8"/>
    </row>
    <row r="6" ht="19.5" customHeight="1">
      <c r="A6" s="11" t="s">
        <v>56</v>
      </c>
      <c r="B6" s="9" t="s">
        <v>50</v>
      </c>
      <c r="C6" s="9" t="s">
        <v>57</v>
      </c>
      <c r="D6" s="12" t="s">
        <v>52</v>
      </c>
      <c r="E6" s="13" t="s">
        <v>53</v>
      </c>
      <c r="F6" s="9"/>
      <c r="G6" s="9"/>
      <c r="H6" s="14" t="s">
        <v>29</v>
      </c>
      <c r="I6" s="9"/>
      <c r="J6" s="9"/>
      <c r="K6" s="9"/>
      <c r="L6" s="9" t="s">
        <v>54</v>
      </c>
      <c r="M6" s="9" t="s">
        <v>55</v>
      </c>
      <c r="N6" s="14" t="s">
        <v>29</v>
      </c>
      <c r="O6" s="9"/>
      <c r="P6" s="9"/>
    </row>
    <row r="7" ht="19.5" customHeight="1">
      <c r="A7" s="11" t="s">
        <v>58</v>
      </c>
      <c r="B7" s="8" t="s">
        <v>50</v>
      </c>
      <c r="C7" s="8" t="s">
        <v>59</v>
      </c>
      <c r="D7" s="12" t="s">
        <v>52</v>
      </c>
      <c r="E7" s="13" t="s">
        <v>53</v>
      </c>
      <c r="F7" s="8"/>
      <c r="G7" s="8"/>
      <c r="H7" s="14" t="s">
        <v>29</v>
      </c>
      <c r="I7" s="8"/>
      <c r="J7" s="8"/>
      <c r="K7" s="8"/>
      <c r="L7" s="8" t="s">
        <v>54</v>
      </c>
      <c r="M7" s="8" t="s">
        <v>55</v>
      </c>
      <c r="N7" s="14" t="s">
        <v>29</v>
      </c>
      <c r="O7" s="8"/>
      <c r="P7" s="8"/>
    </row>
    <row r="8" ht="19.5" customHeight="1">
      <c r="A8" s="11" t="s">
        <v>60</v>
      </c>
      <c r="B8" s="9" t="s">
        <v>50</v>
      </c>
      <c r="C8" s="9" t="s">
        <v>61</v>
      </c>
      <c r="D8" s="12" t="s">
        <v>52</v>
      </c>
      <c r="E8" s="15" t="s">
        <v>62</v>
      </c>
      <c r="F8" s="9"/>
      <c r="G8" s="9"/>
      <c r="H8" s="14" t="s">
        <v>29</v>
      </c>
      <c r="I8" s="9"/>
      <c r="J8" s="9"/>
      <c r="K8" s="9"/>
      <c r="L8" s="9" t="s">
        <v>54</v>
      </c>
      <c r="M8" s="9" t="s">
        <v>55</v>
      </c>
      <c r="N8" s="14" t="s">
        <v>29</v>
      </c>
      <c r="O8" s="9"/>
      <c r="P8" s="9"/>
    </row>
    <row r="9" ht="19.5" customHeight="1">
      <c r="A9" s="11" t="s">
        <v>63</v>
      </c>
      <c r="B9" s="8" t="s">
        <v>50</v>
      </c>
      <c r="C9" s="8" t="s">
        <v>64</v>
      </c>
      <c r="D9" s="12" t="s">
        <v>52</v>
      </c>
      <c r="E9" s="15" t="s">
        <v>62</v>
      </c>
      <c r="F9" s="8"/>
      <c r="G9" s="8"/>
      <c r="H9" s="14" t="s">
        <v>29</v>
      </c>
      <c r="I9" s="8"/>
      <c r="J9" s="8"/>
      <c r="K9" s="8"/>
      <c r="L9" s="8" t="s">
        <v>54</v>
      </c>
      <c r="M9" s="8" t="s">
        <v>55</v>
      </c>
      <c r="N9" s="14" t="s">
        <v>29</v>
      </c>
      <c r="O9" s="8"/>
      <c r="P9" s="8"/>
    </row>
    <row r="10" ht="19.5" customHeight="1">
      <c r="A10" s="11" t="s">
        <v>65</v>
      </c>
      <c r="B10" s="9" t="s">
        <v>50</v>
      </c>
      <c r="C10" s="9" t="s">
        <v>66</v>
      </c>
      <c r="D10" s="12" t="s">
        <v>52</v>
      </c>
      <c r="E10" s="15" t="s">
        <v>62</v>
      </c>
      <c r="F10" s="9"/>
      <c r="G10" s="9"/>
      <c r="H10" s="14" t="s">
        <v>29</v>
      </c>
      <c r="I10" s="9"/>
      <c r="J10" s="9"/>
      <c r="K10" s="9"/>
      <c r="L10" s="9" t="s">
        <v>54</v>
      </c>
      <c r="M10" s="9" t="s">
        <v>55</v>
      </c>
      <c r="N10" s="14" t="s">
        <v>29</v>
      </c>
      <c r="O10" s="9"/>
      <c r="P10" s="9"/>
    </row>
    <row r="11" ht="19.5" customHeight="1">
      <c r="A11" s="11" t="s">
        <v>67</v>
      </c>
      <c r="B11" s="8" t="s">
        <v>68</v>
      </c>
      <c r="C11" s="8" t="s">
        <v>69</v>
      </c>
      <c r="D11" s="12" t="s">
        <v>52</v>
      </c>
      <c r="E11" s="13" t="s">
        <v>53</v>
      </c>
      <c r="F11" s="8"/>
      <c r="G11" s="8"/>
      <c r="H11" s="14" t="s">
        <v>29</v>
      </c>
      <c r="I11" s="8"/>
      <c r="J11" s="8"/>
      <c r="K11" s="8"/>
      <c r="L11" s="8" t="s">
        <v>54</v>
      </c>
      <c r="M11" s="8" t="s">
        <v>55</v>
      </c>
      <c r="N11" s="14" t="s">
        <v>29</v>
      </c>
      <c r="O11" s="8"/>
      <c r="P11" s="8"/>
    </row>
    <row r="12" ht="19.5" customHeight="1">
      <c r="A12" s="11" t="s">
        <v>70</v>
      </c>
      <c r="B12" s="9" t="s">
        <v>68</v>
      </c>
      <c r="C12" s="9" t="s">
        <v>71</v>
      </c>
      <c r="D12" s="12" t="s">
        <v>52</v>
      </c>
      <c r="E12" s="13" t="s">
        <v>53</v>
      </c>
      <c r="F12" s="9"/>
      <c r="G12" s="9"/>
      <c r="H12" s="14" t="s">
        <v>29</v>
      </c>
      <c r="I12" s="9"/>
      <c r="J12" s="9"/>
      <c r="K12" s="9"/>
      <c r="L12" s="9" t="s">
        <v>54</v>
      </c>
      <c r="M12" s="9" t="s">
        <v>55</v>
      </c>
      <c r="N12" s="14" t="s">
        <v>29</v>
      </c>
      <c r="O12" s="9"/>
      <c r="P12" s="9"/>
    </row>
    <row r="13" ht="19.5" customHeight="1">
      <c r="A13" s="11" t="s">
        <v>72</v>
      </c>
      <c r="B13" s="8" t="s">
        <v>68</v>
      </c>
      <c r="C13" s="8" t="s">
        <v>73</v>
      </c>
      <c r="D13" s="16" t="s">
        <v>74</v>
      </c>
      <c r="E13" s="13" t="s">
        <v>53</v>
      </c>
      <c r="F13" s="8"/>
      <c r="G13" s="8"/>
      <c r="H13" s="14" t="s">
        <v>29</v>
      </c>
      <c r="I13" s="8"/>
      <c r="J13" s="8"/>
      <c r="K13" s="8"/>
      <c r="L13" s="8" t="s">
        <v>54</v>
      </c>
      <c r="M13" s="8" t="s">
        <v>55</v>
      </c>
      <c r="N13" s="14" t="s">
        <v>29</v>
      </c>
      <c r="O13" s="8"/>
      <c r="P13" s="8"/>
    </row>
    <row r="14" ht="19.5" customHeight="1">
      <c r="A14" s="11" t="s">
        <v>75</v>
      </c>
      <c r="B14" s="9" t="s">
        <v>68</v>
      </c>
      <c r="C14" s="9" t="s">
        <v>76</v>
      </c>
      <c r="D14" s="16" t="s">
        <v>74</v>
      </c>
      <c r="E14" s="13" t="s">
        <v>53</v>
      </c>
      <c r="F14" s="9"/>
      <c r="G14" s="9"/>
      <c r="H14" s="14" t="s">
        <v>29</v>
      </c>
      <c r="I14" s="9"/>
      <c r="J14" s="9"/>
      <c r="K14" s="9"/>
      <c r="L14" s="9" t="s">
        <v>54</v>
      </c>
      <c r="M14" s="9" t="s">
        <v>55</v>
      </c>
      <c r="N14" s="14" t="s">
        <v>29</v>
      </c>
      <c r="O14" s="9"/>
      <c r="P14" s="9"/>
    </row>
    <row r="15" ht="19.5" customHeight="1">
      <c r="A15" s="11" t="s">
        <v>77</v>
      </c>
      <c r="B15" s="8" t="s">
        <v>78</v>
      </c>
      <c r="C15" s="8" t="s">
        <v>79</v>
      </c>
      <c r="D15" s="16" t="s">
        <v>74</v>
      </c>
      <c r="E15" s="13" t="s">
        <v>53</v>
      </c>
      <c r="F15" s="8"/>
      <c r="G15" s="8"/>
      <c r="H15" s="14" t="s">
        <v>29</v>
      </c>
      <c r="I15" s="8"/>
      <c r="J15" s="8"/>
      <c r="K15" s="8"/>
      <c r="L15" s="8" t="s">
        <v>54</v>
      </c>
      <c r="M15" s="8" t="s">
        <v>55</v>
      </c>
      <c r="N15" s="14" t="s">
        <v>29</v>
      </c>
      <c r="O15" s="8"/>
      <c r="P15" s="8"/>
    </row>
    <row r="16" ht="19.5" customHeight="1">
      <c r="A16" s="11" t="s">
        <v>80</v>
      </c>
      <c r="B16" s="9" t="s">
        <v>78</v>
      </c>
      <c r="C16" s="9" t="s">
        <v>81</v>
      </c>
      <c r="D16" s="12" t="s">
        <v>52</v>
      </c>
      <c r="E16" s="13" t="s">
        <v>53</v>
      </c>
      <c r="F16" s="9"/>
      <c r="G16" s="9"/>
      <c r="H16" s="14" t="s">
        <v>29</v>
      </c>
      <c r="I16" s="9"/>
      <c r="J16" s="9"/>
      <c r="K16" s="9"/>
      <c r="L16" s="9" t="s">
        <v>54</v>
      </c>
      <c r="M16" s="9" t="s">
        <v>55</v>
      </c>
      <c r="N16" s="14" t="s">
        <v>29</v>
      </c>
      <c r="O16" s="9"/>
      <c r="P16" s="9"/>
    </row>
    <row r="17" ht="19.5" customHeight="1">
      <c r="A17" s="11" t="s">
        <v>82</v>
      </c>
      <c r="B17" s="8" t="s">
        <v>78</v>
      </c>
      <c r="C17" s="8" t="s">
        <v>83</v>
      </c>
      <c r="D17" s="12" t="s">
        <v>52</v>
      </c>
      <c r="E17" s="13" t="s">
        <v>53</v>
      </c>
      <c r="F17" s="8"/>
      <c r="G17" s="8"/>
      <c r="H17" s="14" t="s">
        <v>29</v>
      </c>
      <c r="I17" s="8"/>
      <c r="J17" s="8"/>
      <c r="K17" s="8"/>
      <c r="L17" s="8" t="s">
        <v>54</v>
      </c>
      <c r="M17" s="8" t="s">
        <v>55</v>
      </c>
      <c r="N17" s="14" t="s">
        <v>29</v>
      </c>
      <c r="O17" s="8"/>
      <c r="P17" s="8"/>
    </row>
    <row r="18" ht="19.5" customHeight="1">
      <c r="A18" s="11" t="s">
        <v>84</v>
      </c>
      <c r="B18" s="9" t="s">
        <v>85</v>
      </c>
      <c r="C18" s="9" t="s">
        <v>86</v>
      </c>
      <c r="D18" s="12" t="s">
        <v>52</v>
      </c>
      <c r="E18" s="13" t="s">
        <v>53</v>
      </c>
      <c r="F18" s="9"/>
      <c r="G18" s="9"/>
      <c r="H18" s="14" t="s">
        <v>29</v>
      </c>
      <c r="I18" s="9"/>
      <c r="J18" s="9"/>
      <c r="K18" s="9"/>
      <c r="L18" s="9" t="s">
        <v>54</v>
      </c>
      <c r="M18" s="9" t="s">
        <v>55</v>
      </c>
      <c r="N18" s="14" t="s">
        <v>29</v>
      </c>
      <c r="O18" s="9"/>
      <c r="P18" s="9"/>
    </row>
    <row r="19" ht="19.5" customHeight="1">
      <c r="A19" s="11" t="s">
        <v>87</v>
      </c>
      <c r="B19" s="8" t="s">
        <v>85</v>
      </c>
      <c r="C19" s="8" t="s">
        <v>88</v>
      </c>
      <c r="D19" s="16" t="s">
        <v>74</v>
      </c>
      <c r="E19" s="13" t="s">
        <v>53</v>
      </c>
      <c r="F19" s="8"/>
      <c r="G19" s="8"/>
      <c r="H19" s="14" t="s">
        <v>29</v>
      </c>
      <c r="I19" s="8"/>
      <c r="J19" s="8"/>
      <c r="K19" s="8"/>
      <c r="L19" s="8" t="s">
        <v>54</v>
      </c>
      <c r="M19" s="8" t="s">
        <v>55</v>
      </c>
      <c r="N19" s="14" t="s">
        <v>29</v>
      </c>
      <c r="O19" s="8"/>
      <c r="P19" s="8"/>
    </row>
    <row r="20" ht="19.5" customHeight="1">
      <c r="A20" s="11" t="s">
        <v>89</v>
      </c>
      <c r="B20" s="9" t="s">
        <v>90</v>
      </c>
      <c r="C20" s="9" t="s">
        <v>91</v>
      </c>
      <c r="D20" s="12" t="s">
        <v>52</v>
      </c>
      <c r="E20" s="13" t="s">
        <v>53</v>
      </c>
      <c r="F20" s="9"/>
      <c r="G20" s="9"/>
      <c r="H20" s="14" t="s">
        <v>29</v>
      </c>
      <c r="I20" s="9"/>
      <c r="J20" s="9"/>
      <c r="K20" s="9"/>
      <c r="L20" s="9" t="s">
        <v>54</v>
      </c>
      <c r="M20" s="9" t="s">
        <v>55</v>
      </c>
      <c r="N20" s="14" t="s">
        <v>29</v>
      </c>
      <c r="O20" s="9"/>
      <c r="P20" s="9"/>
    </row>
    <row r="21" ht="19.5" customHeight="1">
      <c r="A21" s="11" t="s">
        <v>92</v>
      </c>
      <c r="B21" s="8" t="s">
        <v>90</v>
      </c>
      <c r="C21" s="8" t="s">
        <v>93</v>
      </c>
      <c r="D21" s="12" t="s">
        <v>52</v>
      </c>
      <c r="E21" s="17" t="s">
        <v>94</v>
      </c>
      <c r="F21" s="8"/>
      <c r="G21" s="8"/>
      <c r="H21" s="14" t="s">
        <v>29</v>
      </c>
      <c r="I21" s="8"/>
      <c r="J21" s="8"/>
      <c r="K21" s="8"/>
      <c r="L21" s="8" t="s">
        <v>54</v>
      </c>
      <c r="M21" s="8" t="s">
        <v>55</v>
      </c>
      <c r="N21" s="14" t="s">
        <v>29</v>
      </c>
      <c r="O21" s="8"/>
      <c r="P21" s="8"/>
    </row>
    <row r="22" ht="19.5" customHeight="1">
      <c r="A22" s="11" t="s">
        <v>95</v>
      </c>
      <c r="B22" s="9" t="s">
        <v>90</v>
      </c>
      <c r="C22" s="9" t="s">
        <v>96</v>
      </c>
      <c r="D22" s="16" t="s">
        <v>74</v>
      </c>
      <c r="E22" s="13" t="s">
        <v>53</v>
      </c>
      <c r="F22" s="9"/>
      <c r="G22" s="9"/>
      <c r="H22" s="14" t="s">
        <v>29</v>
      </c>
      <c r="I22" s="9"/>
      <c r="J22" s="9"/>
      <c r="K22" s="9"/>
      <c r="L22" s="9" t="s">
        <v>54</v>
      </c>
      <c r="M22" s="9" t="s">
        <v>55</v>
      </c>
      <c r="N22" s="14" t="s">
        <v>29</v>
      </c>
      <c r="O22" s="9"/>
      <c r="P22" s="9"/>
    </row>
    <row r="23" ht="19.5" customHeight="1">
      <c r="A23" s="11" t="s">
        <v>97</v>
      </c>
      <c r="B23" s="8" t="s">
        <v>90</v>
      </c>
      <c r="C23" s="8" t="s">
        <v>98</v>
      </c>
      <c r="D23" s="16" t="s">
        <v>74</v>
      </c>
      <c r="E23" s="13" t="s">
        <v>53</v>
      </c>
      <c r="F23" s="8"/>
      <c r="G23" s="8"/>
      <c r="H23" s="14" t="s">
        <v>29</v>
      </c>
      <c r="I23" s="8"/>
      <c r="J23" s="8"/>
      <c r="K23" s="8"/>
      <c r="L23" s="8" t="s">
        <v>54</v>
      </c>
      <c r="M23" s="8" t="s">
        <v>55</v>
      </c>
      <c r="N23" s="14" t="s">
        <v>29</v>
      </c>
      <c r="O23" s="8"/>
      <c r="P23" s="8"/>
    </row>
    <row r="24" ht="19.5" customHeight="1">
      <c r="A24" s="11" t="s">
        <v>99</v>
      </c>
      <c r="B24" s="9" t="s">
        <v>100</v>
      </c>
      <c r="C24" s="9" t="s">
        <v>101</v>
      </c>
      <c r="D24" s="12" t="s">
        <v>52</v>
      </c>
      <c r="E24" s="13" t="s">
        <v>53</v>
      </c>
      <c r="F24" s="9"/>
      <c r="G24" s="9"/>
      <c r="H24" s="14" t="s">
        <v>29</v>
      </c>
      <c r="I24" s="9"/>
      <c r="J24" s="9"/>
      <c r="K24" s="9"/>
      <c r="L24" s="9" t="s">
        <v>54</v>
      </c>
      <c r="M24" s="9" t="s">
        <v>55</v>
      </c>
      <c r="N24" s="14" t="s">
        <v>29</v>
      </c>
      <c r="O24" s="9"/>
      <c r="P24" s="9"/>
    </row>
    <row r="25" ht="19.5" customHeight="1">
      <c r="A25" s="11" t="s">
        <v>102</v>
      </c>
      <c r="B25" s="8" t="s">
        <v>100</v>
      </c>
      <c r="C25" s="8" t="s">
        <v>103</v>
      </c>
      <c r="D25" s="16" t="s">
        <v>74</v>
      </c>
      <c r="E25" s="13" t="s">
        <v>53</v>
      </c>
      <c r="F25" s="8"/>
      <c r="G25" s="8"/>
      <c r="H25" s="14" t="s">
        <v>29</v>
      </c>
      <c r="I25" s="8"/>
      <c r="J25" s="8"/>
      <c r="K25" s="8"/>
      <c r="L25" s="8" t="s">
        <v>54</v>
      </c>
      <c r="M25" s="8" t="s">
        <v>55</v>
      </c>
      <c r="N25" s="14" t="s">
        <v>29</v>
      </c>
      <c r="O25" s="8"/>
      <c r="P25" s="8"/>
    </row>
    <row r="26" ht="19.5" customHeight="1">
      <c r="A26" s="11" t="s">
        <v>104</v>
      </c>
      <c r="B26" s="9" t="s">
        <v>105</v>
      </c>
      <c r="C26" s="9" t="s">
        <v>106</v>
      </c>
      <c r="D26" s="12" t="s">
        <v>52</v>
      </c>
      <c r="E26" s="13" t="s">
        <v>53</v>
      </c>
      <c r="F26" s="9"/>
      <c r="G26" s="9"/>
      <c r="H26" s="14" t="s">
        <v>29</v>
      </c>
      <c r="I26" s="9"/>
      <c r="J26" s="9"/>
      <c r="K26" s="9"/>
      <c r="L26" s="9" t="s">
        <v>54</v>
      </c>
      <c r="M26" s="9" t="s">
        <v>55</v>
      </c>
      <c r="N26" s="14" t="s">
        <v>29</v>
      </c>
      <c r="O26" s="9"/>
      <c r="P26" s="9"/>
    </row>
    <row r="27" ht="19.5" customHeight="1">
      <c r="A27" s="11" t="s">
        <v>107</v>
      </c>
      <c r="B27" s="8" t="s">
        <v>105</v>
      </c>
      <c r="C27" s="8" t="s">
        <v>108</v>
      </c>
      <c r="D27" s="16" t="s">
        <v>74</v>
      </c>
      <c r="E27" s="13" t="s">
        <v>53</v>
      </c>
      <c r="F27" s="8"/>
      <c r="G27" s="8"/>
      <c r="H27" s="14" t="s">
        <v>29</v>
      </c>
      <c r="I27" s="8"/>
      <c r="J27" s="8"/>
      <c r="K27" s="8"/>
      <c r="L27" s="8" t="s">
        <v>54</v>
      </c>
      <c r="M27" s="8" t="s">
        <v>55</v>
      </c>
      <c r="N27" s="14" t="s">
        <v>29</v>
      </c>
      <c r="O27" s="8"/>
      <c r="P27" s="8"/>
    </row>
    <row r="28" ht="19.5" customHeight="1">
      <c r="A28" s="11" t="s">
        <v>109</v>
      </c>
      <c r="B28" s="9" t="s">
        <v>110</v>
      </c>
      <c r="C28" s="9" t="s">
        <v>111</v>
      </c>
      <c r="D28" s="12" t="s">
        <v>52</v>
      </c>
      <c r="E28" s="13" t="s">
        <v>53</v>
      </c>
      <c r="F28" s="9"/>
      <c r="G28" s="9"/>
      <c r="H28" s="14" t="s">
        <v>29</v>
      </c>
      <c r="I28" s="9"/>
      <c r="J28" s="9"/>
      <c r="K28" s="9"/>
      <c r="L28" s="9" t="s">
        <v>54</v>
      </c>
      <c r="M28" s="9" t="s">
        <v>55</v>
      </c>
      <c r="N28" s="14" t="s">
        <v>29</v>
      </c>
      <c r="O28" s="9"/>
      <c r="P28" s="9"/>
    </row>
    <row r="29" ht="19.5" customHeight="1">
      <c r="A29" s="11" t="s">
        <v>112</v>
      </c>
      <c r="B29" s="8" t="s">
        <v>110</v>
      </c>
      <c r="C29" s="8" t="s">
        <v>113</v>
      </c>
      <c r="D29" s="16" t="s">
        <v>74</v>
      </c>
      <c r="E29" s="13" t="s">
        <v>53</v>
      </c>
      <c r="F29" s="8"/>
      <c r="G29" s="8"/>
      <c r="H29" s="14" t="s">
        <v>29</v>
      </c>
      <c r="I29" s="8"/>
      <c r="J29" s="8"/>
      <c r="K29" s="8"/>
      <c r="L29" s="8" t="s">
        <v>54</v>
      </c>
      <c r="M29" s="8" t="s">
        <v>55</v>
      </c>
      <c r="N29" s="14" t="s">
        <v>29</v>
      </c>
      <c r="O29" s="8"/>
      <c r="P29" s="8"/>
    </row>
    <row r="30" ht="19.5" customHeight="1">
      <c r="A30" s="11" t="s">
        <v>114</v>
      </c>
      <c r="B30" s="9" t="s">
        <v>115</v>
      </c>
      <c r="C30" s="9" t="s">
        <v>116</v>
      </c>
      <c r="D30" s="12" t="s">
        <v>52</v>
      </c>
      <c r="E30" s="13" t="s">
        <v>53</v>
      </c>
      <c r="F30" s="9"/>
      <c r="G30" s="9"/>
      <c r="H30" s="14" t="s">
        <v>29</v>
      </c>
      <c r="I30" s="9"/>
      <c r="J30" s="9"/>
      <c r="K30" s="9"/>
      <c r="L30" s="9" t="s">
        <v>54</v>
      </c>
      <c r="M30" s="9" t="s">
        <v>55</v>
      </c>
      <c r="N30" s="14" t="s">
        <v>29</v>
      </c>
      <c r="O30" s="9"/>
      <c r="P30" s="9"/>
    </row>
    <row r="31" ht="19.5" customHeight="1">
      <c r="A31" s="11" t="s">
        <v>117</v>
      </c>
      <c r="B31" s="8" t="s">
        <v>62</v>
      </c>
      <c r="C31" s="8" t="s">
        <v>118</v>
      </c>
      <c r="D31" s="12" t="s">
        <v>52</v>
      </c>
      <c r="E31" s="15" t="s">
        <v>62</v>
      </c>
      <c r="F31" s="8"/>
      <c r="G31" s="8"/>
      <c r="H31" s="14" t="s">
        <v>29</v>
      </c>
      <c r="I31" s="8"/>
      <c r="J31" s="8"/>
      <c r="K31" s="8"/>
      <c r="L31" s="8" t="s">
        <v>54</v>
      </c>
      <c r="M31" s="8" t="s">
        <v>55</v>
      </c>
      <c r="N31" s="14" t="s">
        <v>29</v>
      </c>
      <c r="O31" s="8"/>
      <c r="P31" s="8"/>
    </row>
    <row r="32" ht="19.5" customHeight="1">
      <c r="A32" s="11" t="s">
        <v>119</v>
      </c>
      <c r="B32" s="9" t="s">
        <v>120</v>
      </c>
      <c r="C32" s="9" t="s">
        <v>121</v>
      </c>
      <c r="D32" s="16" t="s">
        <v>74</v>
      </c>
      <c r="E32" s="18" t="s">
        <v>120</v>
      </c>
      <c r="F32" s="9"/>
      <c r="G32" s="9"/>
      <c r="H32" s="14" t="s">
        <v>29</v>
      </c>
      <c r="I32" s="9"/>
      <c r="J32" s="9"/>
      <c r="K32" s="9"/>
      <c r="L32" s="9" t="s">
        <v>54</v>
      </c>
      <c r="M32" s="9" t="s">
        <v>55</v>
      </c>
      <c r="N32" s="14" t="s">
        <v>29</v>
      </c>
      <c r="O32" s="9"/>
      <c r="P32" s="9"/>
    </row>
    <row r="33" ht="19.5" customHeight="1">
      <c r="A33" s="11" t="s">
        <v>122</v>
      </c>
      <c r="B33" s="8" t="s">
        <v>123</v>
      </c>
      <c r="C33" s="8" t="s">
        <v>124</v>
      </c>
      <c r="D33" s="16" t="s">
        <v>74</v>
      </c>
      <c r="E33" s="19" t="s">
        <v>123</v>
      </c>
      <c r="F33" s="8"/>
      <c r="G33" s="8"/>
      <c r="H33" s="14" t="s">
        <v>29</v>
      </c>
      <c r="I33" s="8"/>
      <c r="J33" s="8"/>
      <c r="K33" s="8"/>
      <c r="L33" s="8" t="s">
        <v>54</v>
      </c>
      <c r="M33" s="8" t="s">
        <v>55</v>
      </c>
      <c r="N33" s="14" t="s">
        <v>29</v>
      </c>
      <c r="O33" s="8"/>
      <c r="P33" s="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2.43"/>
    <col customWidth="1" min="3" max="3" width="14.0"/>
    <col customWidth="1" min="4" max="4" width="12.0"/>
    <col customWidth="1" min="5" max="5" width="24.0"/>
    <col customWidth="1" min="6" max="26" width="8.71"/>
  </cols>
  <sheetData>
    <row r="1" ht="36.0" customHeight="1">
      <c r="A1" s="1" t="s">
        <v>125</v>
      </c>
      <c r="B1" s="10"/>
      <c r="C1" s="10"/>
      <c r="D1" s="10"/>
      <c r="E1" s="2"/>
    </row>
    <row r="2" ht="21.75" customHeight="1">
      <c r="A2" s="3" t="s">
        <v>33</v>
      </c>
      <c r="B2" s="10"/>
      <c r="C2" s="10"/>
      <c r="D2" s="10"/>
      <c r="E2" s="2"/>
    </row>
    <row r="3" ht="7.5" customHeight="1"/>
    <row r="4">
      <c r="A4" s="7" t="s">
        <v>35</v>
      </c>
      <c r="B4" s="7" t="s">
        <v>126</v>
      </c>
      <c r="C4" s="7" t="s">
        <v>127</v>
      </c>
      <c r="D4" s="7" t="s">
        <v>128</v>
      </c>
      <c r="E4" s="7" t="s">
        <v>129</v>
      </c>
    </row>
    <row r="5" ht="18.0" customHeight="1">
      <c r="A5" s="20" t="s">
        <v>50</v>
      </c>
      <c r="B5" s="13">
        <v>6.0</v>
      </c>
      <c r="C5" s="13">
        <v>0.0</v>
      </c>
      <c r="D5" s="13">
        <v>0.0</v>
      </c>
      <c r="E5" s="13">
        <v>6.0</v>
      </c>
    </row>
    <row r="6" ht="18.0" customHeight="1">
      <c r="A6" s="21" t="s">
        <v>68</v>
      </c>
      <c r="B6" s="22">
        <v>4.0</v>
      </c>
      <c r="C6" s="22">
        <v>0.0</v>
      </c>
      <c r="D6" s="22">
        <v>0.0</v>
      </c>
      <c r="E6" s="22">
        <v>4.0</v>
      </c>
    </row>
    <row r="7" ht="18.0" customHeight="1">
      <c r="A7" s="20" t="s">
        <v>78</v>
      </c>
      <c r="B7" s="13">
        <v>3.0</v>
      </c>
      <c r="C7" s="13">
        <v>0.0</v>
      </c>
      <c r="D7" s="13">
        <v>0.0</v>
      </c>
      <c r="E7" s="13">
        <v>3.0</v>
      </c>
    </row>
    <row r="8" ht="18.0" customHeight="1">
      <c r="A8" s="21" t="s">
        <v>85</v>
      </c>
      <c r="B8" s="22">
        <v>2.0</v>
      </c>
      <c r="C8" s="22">
        <v>0.0</v>
      </c>
      <c r="D8" s="22">
        <v>0.0</v>
      </c>
      <c r="E8" s="22">
        <v>2.0</v>
      </c>
    </row>
    <row r="9" ht="18.0" customHeight="1">
      <c r="A9" s="20" t="s">
        <v>90</v>
      </c>
      <c r="B9" s="13">
        <v>4.0</v>
      </c>
      <c r="C9" s="13">
        <v>0.0</v>
      </c>
      <c r="D9" s="13">
        <v>0.0</v>
      </c>
      <c r="E9" s="13">
        <v>4.0</v>
      </c>
    </row>
    <row r="10" ht="18.0" customHeight="1">
      <c r="A10" s="21" t="s">
        <v>100</v>
      </c>
      <c r="B10" s="22">
        <v>2.0</v>
      </c>
      <c r="C10" s="22">
        <v>0.0</v>
      </c>
      <c r="D10" s="22">
        <v>0.0</v>
      </c>
      <c r="E10" s="22">
        <v>2.0</v>
      </c>
    </row>
    <row r="11" ht="18.0" customHeight="1">
      <c r="A11" s="20" t="s">
        <v>105</v>
      </c>
      <c r="B11" s="13">
        <v>2.0</v>
      </c>
      <c r="C11" s="13">
        <v>0.0</v>
      </c>
      <c r="D11" s="13">
        <v>0.0</v>
      </c>
      <c r="E11" s="13">
        <v>2.0</v>
      </c>
    </row>
    <row r="12" ht="18.0" customHeight="1">
      <c r="A12" s="21" t="s">
        <v>110</v>
      </c>
      <c r="B12" s="22">
        <v>2.0</v>
      </c>
      <c r="C12" s="22">
        <v>0.0</v>
      </c>
      <c r="D12" s="22">
        <v>0.0</v>
      </c>
      <c r="E12" s="22">
        <v>2.0</v>
      </c>
    </row>
    <row r="13" ht="18.0" customHeight="1">
      <c r="A13" s="20" t="s">
        <v>115</v>
      </c>
      <c r="B13" s="13">
        <v>1.0</v>
      </c>
      <c r="C13" s="13">
        <v>0.0</v>
      </c>
      <c r="D13" s="13">
        <v>0.0</v>
      </c>
      <c r="E13" s="13">
        <v>1.0</v>
      </c>
    </row>
    <row r="14" ht="18.0" customHeight="1">
      <c r="A14" s="21" t="s">
        <v>62</v>
      </c>
      <c r="B14" s="22">
        <v>1.0</v>
      </c>
      <c r="C14" s="22">
        <v>0.0</v>
      </c>
      <c r="D14" s="22">
        <v>0.0</v>
      </c>
      <c r="E14" s="22">
        <v>1.0</v>
      </c>
    </row>
    <row r="15" ht="18.0" customHeight="1">
      <c r="A15" s="20" t="s">
        <v>120</v>
      </c>
      <c r="B15" s="13">
        <v>1.0</v>
      </c>
      <c r="C15" s="13">
        <v>0.0</v>
      </c>
      <c r="D15" s="13">
        <v>0.0</v>
      </c>
      <c r="E15" s="13">
        <v>1.0</v>
      </c>
    </row>
    <row r="16" ht="18.0" customHeight="1">
      <c r="A16" s="21" t="s">
        <v>123</v>
      </c>
      <c r="B16" s="22">
        <v>1.0</v>
      </c>
      <c r="C16" s="22">
        <v>0.0</v>
      </c>
      <c r="D16" s="22">
        <v>0.0</v>
      </c>
      <c r="E16" s="22">
        <v>1.0</v>
      </c>
    </row>
    <row r="17" ht="19.5" customHeight="1">
      <c r="A17" s="23" t="s">
        <v>130</v>
      </c>
      <c r="B17" s="23">
        <v>29.0</v>
      </c>
      <c r="C17" s="23">
        <v>0.0</v>
      </c>
      <c r="D17" s="23">
        <v>0.0</v>
      </c>
      <c r="E17" s="23">
        <v>29.0</v>
      </c>
    </row>
    <row r="19" ht="19.5" customHeight="1">
      <c r="A19" s="6" t="s">
        <v>131</v>
      </c>
      <c r="B19" s="10"/>
      <c r="C19" s="10"/>
      <c r="D19" s="10"/>
      <c r="E19" s="2"/>
    </row>
    <row r="20">
      <c r="A20" s="7" t="s">
        <v>132</v>
      </c>
      <c r="B20" s="7" t="s">
        <v>133</v>
      </c>
      <c r="C20" s="7" t="s">
        <v>134</v>
      </c>
      <c r="D20" s="7" t="s">
        <v>135</v>
      </c>
      <c r="E20" s="7" t="s">
        <v>19</v>
      </c>
    </row>
    <row r="21" ht="18.0" customHeight="1">
      <c r="A21" s="8" t="s">
        <v>136</v>
      </c>
      <c r="B21" s="8" t="str">
        <f>Ejecutados/Total×100</f>
        <v>#ERROR!</v>
      </c>
      <c r="C21" s="8" t="s">
        <v>137</v>
      </c>
      <c r="D21" s="8" t="s">
        <v>138</v>
      </c>
      <c r="E21" s="8" t="s">
        <v>139</v>
      </c>
    </row>
    <row r="22" ht="18.0" customHeight="1">
      <c r="A22" s="9" t="s">
        <v>140</v>
      </c>
      <c r="B22" s="9" t="str">
        <f>Aprobados/Ejecutados×100</f>
        <v>#ERROR!</v>
      </c>
      <c r="C22" s="9" t="s">
        <v>31</v>
      </c>
      <c r="D22" s="9" t="s">
        <v>141</v>
      </c>
      <c r="E22" s="9" t="s">
        <v>139</v>
      </c>
    </row>
    <row r="23" ht="18.0" customHeight="1">
      <c r="A23" s="8" t="s">
        <v>142</v>
      </c>
      <c r="B23" s="8" t="str">
        <f>Fallidos/Ejecutados×100</f>
        <v>#ERROR!</v>
      </c>
      <c r="C23" s="8" t="s">
        <v>31</v>
      </c>
      <c r="D23" s="8" t="s">
        <v>143</v>
      </c>
      <c r="E23" s="8" t="s">
        <v>139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9:E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2026-06-04T21:53:03Z</dcterms:created>
  <dc:creator>openpyxl</dc:creator>
</cp:coreProperties>
</file>